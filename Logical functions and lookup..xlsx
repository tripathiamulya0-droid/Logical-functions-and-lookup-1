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8_{F6DC6C6A-24F8-4C27-8F5E-746C49512C00}" xr6:coauthVersionLast="47" xr6:coauthVersionMax="47" xr10:uidLastSave="{00000000-0000-0000-0000-000000000000}"/>
  <bookViews>
    <workbookView xWindow="-108" yWindow="-108" windowWidth="23256" windowHeight="12456" xr2:uid="{5D0EDF93-D256-4AC0-8CF2-F74A6C922C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7" i="1" l="1"/>
  <c r="B66" i="1"/>
  <c r="D47" i="1"/>
  <c r="D48" i="1"/>
  <c r="D46" i="1"/>
  <c r="C32" i="1"/>
  <c r="B42" i="1"/>
  <c r="C20" i="1"/>
  <c r="C21" i="1"/>
  <c r="C22" i="1"/>
  <c r="C23" i="1"/>
  <c r="C19" i="1"/>
  <c r="D12" i="1"/>
  <c r="D14" i="1"/>
  <c r="D15" i="1"/>
  <c r="D13" i="1"/>
  <c r="C8" i="1"/>
  <c r="C4" i="1"/>
  <c r="C5" i="1"/>
  <c r="C6" i="1"/>
  <c r="C7" i="1"/>
</calcChain>
</file>

<file path=xl/sharedStrings.xml><?xml version="1.0" encoding="utf-8"?>
<sst xmlns="http://schemas.openxmlformats.org/spreadsheetml/2006/main" count="77" uniqueCount="60">
  <si>
    <t>Q1 - SOLUTION</t>
  </si>
  <si>
    <t>STUDENT NAME</t>
  </si>
  <si>
    <t>MARKS</t>
  </si>
  <si>
    <t>Riya</t>
  </si>
  <si>
    <t>Siya</t>
  </si>
  <si>
    <t>Raju</t>
  </si>
  <si>
    <t>Rahul</t>
  </si>
  <si>
    <t>Ram</t>
  </si>
  <si>
    <t>STATUS OF PASS OR FAIL</t>
  </si>
  <si>
    <t>EMPLOYEE</t>
  </si>
  <si>
    <t>SALES</t>
  </si>
  <si>
    <t>ATTENDANCE</t>
  </si>
  <si>
    <t>Arjun</t>
  </si>
  <si>
    <t>Simran</t>
  </si>
  <si>
    <t>Rohit</t>
  </si>
  <si>
    <t>Anjali</t>
  </si>
  <si>
    <t>BONUS /NO BONUS</t>
  </si>
  <si>
    <t>Q2 - SOLUTION</t>
  </si>
  <si>
    <t>Q3 - SOLUTION</t>
  </si>
  <si>
    <t>Vivek</t>
  </si>
  <si>
    <t>Sneha</t>
  </si>
  <si>
    <t>Neha</t>
  </si>
  <si>
    <t xml:space="preserve">Rani </t>
  </si>
  <si>
    <t xml:space="preserve">Raj </t>
  </si>
  <si>
    <t>GRADES (A,B,C) OR FAIL</t>
  </si>
  <si>
    <t>Q4 - SOLUTION</t>
  </si>
  <si>
    <t>EMP ID</t>
  </si>
  <si>
    <t>NAME</t>
  </si>
  <si>
    <t>DEPARTMENT</t>
  </si>
  <si>
    <t>E101</t>
  </si>
  <si>
    <t>E102</t>
  </si>
  <si>
    <t>E103</t>
  </si>
  <si>
    <t>E104</t>
  </si>
  <si>
    <t>Sejal</t>
  </si>
  <si>
    <t>Roshini</t>
  </si>
  <si>
    <t>IT</t>
  </si>
  <si>
    <t>HR</t>
  </si>
  <si>
    <t>FINANCE</t>
  </si>
  <si>
    <t>FOR EMPLOYEE E103</t>
  </si>
  <si>
    <t>DEPARTMENT OF E103</t>
  </si>
  <si>
    <t>Q5 - SOLUTION</t>
  </si>
  <si>
    <t>SALES AMOUNT</t>
  </si>
  <si>
    <t>COMMISSION RATE</t>
  </si>
  <si>
    <t>EMPLOYEE NAME</t>
  </si>
  <si>
    <t>LEAVES ALLOWED</t>
  </si>
  <si>
    <t>LEAVES TAKEN</t>
  </si>
  <si>
    <t>Alex</t>
  </si>
  <si>
    <t>Bob</t>
  </si>
  <si>
    <t>Anna</t>
  </si>
  <si>
    <t>EXCEEDED OR OK</t>
  </si>
  <si>
    <t xml:space="preserve">  EMP ID</t>
  </si>
  <si>
    <t>SALARY</t>
  </si>
  <si>
    <t>E106</t>
  </si>
  <si>
    <t>E105</t>
  </si>
  <si>
    <t>Q8 - SOLUTION</t>
  </si>
  <si>
    <t xml:space="preserve">Q7 -SOLUTION </t>
  </si>
  <si>
    <t>Q6- SOLUTION</t>
  </si>
  <si>
    <t xml:space="preserve">EMP ID </t>
  </si>
  <si>
    <t>E301</t>
  </si>
  <si>
    <t>E303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</si>
</sst>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0" fontId="5" fillId="0" borderId="0" xfId="0" applyFont="1"/>
    <xf numFmtId="0" fontId="4" fillId="0" borderId="1" xfId="0" applyFont="1" applyBorder="1"/>
    <xf numFmtId="0" fontId="5" fillId="0" borderId="1" xfId="0" applyFont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/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1" xfId="0" applyFon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9" fontId="3" fillId="0" borderId="0" xfId="1" applyFont="1"/>
    <xf numFmtId="0" fontId="4" fillId="0" borderId="1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EB4FC-5513-469B-A08B-97BE5F0B18B2}">
  <dimension ref="A1:D66"/>
  <sheetViews>
    <sheetView tabSelected="1" workbookViewId="0">
      <selection activeCell="C62" sqref="C62"/>
    </sheetView>
  </sheetViews>
  <sheetFormatPr defaultRowHeight="14.4" x14ac:dyDescent="0.3"/>
  <cols>
    <col min="1" max="1" width="23.5546875" bestFit="1" customWidth="1"/>
    <col min="2" max="2" width="22.109375" bestFit="1" customWidth="1"/>
    <col min="3" max="3" width="31" bestFit="1" customWidth="1"/>
    <col min="4" max="4" width="22.5546875" bestFit="1" customWidth="1"/>
  </cols>
  <sheetData>
    <row r="1" spans="1:4" ht="18" x14ac:dyDescent="0.35">
      <c r="A1" s="14" t="s">
        <v>0</v>
      </c>
    </row>
    <row r="3" spans="1:4" ht="18" x14ac:dyDescent="0.35">
      <c r="A3" s="10" t="s">
        <v>1</v>
      </c>
      <c r="B3" s="10" t="s">
        <v>2</v>
      </c>
      <c r="C3" s="6" t="s">
        <v>8</v>
      </c>
    </row>
    <row r="4" spans="1:4" ht="15.6" x14ac:dyDescent="0.3">
      <c r="A4" s="7" t="s">
        <v>3</v>
      </c>
      <c r="B4" s="7">
        <v>45</v>
      </c>
      <c r="C4" s="9" t="str">
        <f>IF(B4&gt;=40, "Pass", "Fail")</f>
        <v>Pass</v>
      </c>
    </row>
    <row r="5" spans="1:4" ht="15.6" x14ac:dyDescent="0.3">
      <c r="A5" s="7" t="s">
        <v>4</v>
      </c>
      <c r="B5" s="7">
        <v>72</v>
      </c>
      <c r="C5" s="9" t="str">
        <f t="shared" ref="C5:C8" si="0">IF(B5&gt;=40, "Pass", "Fail")</f>
        <v>Pass</v>
      </c>
    </row>
    <row r="6" spans="1:4" ht="15.6" x14ac:dyDescent="0.3">
      <c r="A6" s="7" t="s">
        <v>5</v>
      </c>
      <c r="B6" s="7">
        <v>55</v>
      </c>
      <c r="C6" s="9" t="str">
        <f t="shared" si="0"/>
        <v>Pass</v>
      </c>
    </row>
    <row r="7" spans="1:4" ht="15.6" x14ac:dyDescent="0.3">
      <c r="A7" s="7" t="s">
        <v>6</v>
      </c>
      <c r="B7" s="7">
        <v>80</v>
      </c>
      <c r="C7" s="9" t="str">
        <f t="shared" si="0"/>
        <v>Pass</v>
      </c>
    </row>
    <row r="8" spans="1:4" ht="15.6" x14ac:dyDescent="0.3">
      <c r="A8" s="7" t="s">
        <v>7</v>
      </c>
      <c r="B8" s="7">
        <v>30</v>
      </c>
      <c r="C8" s="9" t="str">
        <f>IF(B8&gt;=40, "Pass", "Fail")</f>
        <v>Fail</v>
      </c>
    </row>
    <row r="10" spans="1:4" ht="18" x14ac:dyDescent="0.35">
      <c r="A10" s="15" t="s">
        <v>17</v>
      </c>
    </row>
    <row r="11" spans="1:4" ht="18" x14ac:dyDescent="0.35">
      <c r="A11" s="19" t="s">
        <v>9</v>
      </c>
      <c r="B11" s="10" t="s">
        <v>10</v>
      </c>
      <c r="C11" s="10" t="s">
        <v>11</v>
      </c>
      <c r="D11" s="6" t="s">
        <v>16</v>
      </c>
    </row>
    <row r="12" spans="1:4" ht="15.6" x14ac:dyDescent="0.3">
      <c r="A12" s="11" t="s">
        <v>12</v>
      </c>
      <c r="B12" s="7">
        <v>55000</v>
      </c>
      <c r="C12" s="7">
        <v>95</v>
      </c>
      <c r="D12" s="13" t="str">
        <f>IF(AND(B12&gt;40000,C12&gt;=90), "Bonus", "No Bonus")</f>
        <v>Bonus</v>
      </c>
    </row>
    <row r="13" spans="1:4" ht="15.6" x14ac:dyDescent="0.3">
      <c r="A13" s="11" t="s">
        <v>13</v>
      </c>
      <c r="B13" s="7">
        <v>65000</v>
      </c>
      <c r="C13" s="7">
        <v>85</v>
      </c>
      <c r="D13" s="13" t="str">
        <f>IF(AND(B13&gt;40000,C13&gt;=90), "Bonus", "No Bonus")</f>
        <v>No Bonus</v>
      </c>
    </row>
    <row r="14" spans="1:4" ht="15.6" x14ac:dyDescent="0.3">
      <c r="A14" s="11" t="s">
        <v>14</v>
      </c>
      <c r="B14" s="7">
        <v>30000</v>
      </c>
      <c r="C14" s="7">
        <v>90</v>
      </c>
      <c r="D14" s="13" t="str">
        <f t="shared" ref="D14:D15" si="1">IF(AND(B14&gt;40000,C14&gt;=90), "Bonus", "No Bonus")</f>
        <v>No Bonus</v>
      </c>
    </row>
    <row r="15" spans="1:4" ht="15.6" x14ac:dyDescent="0.3">
      <c r="A15" s="11" t="s">
        <v>15</v>
      </c>
      <c r="B15" s="7">
        <v>25000</v>
      </c>
      <c r="C15" s="7">
        <v>65</v>
      </c>
      <c r="D15" s="13" t="str">
        <f t="shared" si="1"/>
        <v>No Bonus</v>
      </c>
    </row>
    <row r="17" spans="1:3" ht="18" x14ac:dyDescent="0.35">
      <c r="A17" s="16" t="s">
        <v>18</v>
      </c>
    </row>
    <row r="18" spans="1:3" ht="18" x14ac:dyDescent="0.35">
      <c r="A18" s="19" t="s">
        <v>1</v>
      </c>
      <c r="B18" s="10" t="s">
        <v>2</v>
      </c>
      <c r="C18" s="6" t="s">
        <v>24</v>
      </c>
    </row>
    <row r="19" spans="1:3" ht="15.6" x14ac:dyDescent="0.3">
      <c r="A19" s="11" t="s">
        <v>23</v>
      </c>
      <c r="B19" s="7">
        <v>85</v>
      </c>
      <c r="C19" s="9" t="str">
        <f>IF(B19&gt;=90, "A", IF(B19&gt;=75, "B", IF(B19&gt;=50, "C", "Fail")))</f>
        <v>B</v>
      </c>
    </row>
    <row r="20" spans="1:3" ht="15.6" x14ac:dyDescent="0.3">
      <c r="A20" s="11" t="s">
        <v>21</v>
      </c>
      <c r="B20" s="7">
        <v>96</v>
      </c>
      <c r="C20" s="9" t="str">
        <f t="shared" ref="C20:C23" si="2">IF(B20&gt;=90, "A", IF(B20&gt;=75, "B", IF(B20&gt;=50, "C", "Fail")))</f>
        <v>A</v>
      </c>
    </row>
    <row r="21" spans="1:3" ht="15.6" x14ac:dyDescent="0.3">
      <c r="A21" s="11" t="s">
        <v>19</v>
      </c>
      <c r="B21" s="7">
        <v>57</v>
      </c>
      <c r="C21" s="9" t="str">
        <f t="shared" si="2"/>
        <v>C</v>
      </c>
    </row>
    <row r="22" spans="1:3" ht="15.6" x14ac:dyDescent="0.3">
      <c r="A22" s="11" t="s">
        <v>22</v>
      </c>
      <c r="B22" s="7">
        <v>92</v>
      </c>
      <c r="C22" s="9" t="str">
        <f t="shared" si="2"/>
        <v>A</v>
      </c>
    </row>
    <row r="23" spans="1:3" ht="15.6" x14ac:dyDescent="0.3">
      <c r="A23" s="11" t="s">
        <v>20</v>
      </c>
      <c r="B23" s="7">
        <v>75</v>
      </c>
      <c r="C23" s="9" t="str">
        <f t="shared" si="2"/>
        <v>B</v>
      </c>
    </row>
    <row r="24" spans="1:3" ht="15.6" x14ac:dyDescent="0.3">
      <c r="A24" s="5"/>
      <c r="B24" s="4"/>
    </row>
    <row r="25" spans="1:3" ht="18" x14ac:dyDescent="0.35">
      <c r="A25" s="16" t="s">
        <v>25</v>
      </c>
    </row>
    <row r="26" spans="1:3" ht="18" x14ac:dyDescent="0.35">
      <c r="A26" s="19" t="s">
        <v>26</v>
      </c>
      <c r="B26" s="6" t="s">
        <v>27</v>
      </c>
      <c r="C26" s="6" t="s">
        <v>28</v>
      </c>
    </row>
    <row r="27" spans="1:3" ht="15.6" x14ac:dyDescent="0.3">
      <c r="A27" s="11" t="s">
        <v>29</v>
      </c>
      <c r="B27" s="7" t="s">
        <v>5</v>
      </c>
      <c r="C27" s="12" t="s">
        <v>35</v>
      </c>
    </row>
    <row r="28" spans="1:3" ht="15.6" x14ac:dyDescent="0.3">
      <c r="A28" s="11" t="s">
        <v>30</v>
      </c>
      <c r="B28" s="7" t="s">
        <v>3</v>
      </c>
      <c r="C28" s="12" t="s">
        <v>36</v>
      </c>
    </row>
    <row r="29" spans="1:3" ht="15.6" x14ac:dyDescent="0.3">
      <c r="A29" s="11" t="s">
        <v>31</v>
      </c>
      <c r="B29" s="7" t="s">
        <v>34</v>
      </c>
      <c r="C29" s="12" t="s">
        <v>37</v>
      </c>
    </row>
    <row r="30" spans="1:3" ht="15.6" x14ac:dyDescent="0.3">
      <c r="A30" s="11" t="s">
        <v>32</v>
      </c>
      <c r="B30" s="7" t="s">
        <v>33</v>
      </c>
      <c r="C30" s="12" t="s">
        <v>10</v>
      </c>
    </row>
    <row r="32" spans="1:3" ht="18" x14ac:dyDescent="0.35">
      <c r="A32" s="8" t="s">
        <v>38</v>
      </c>
      <c r="B32" s="3"/>
      <c r="C32" s="3" t="str">
        <f>VLOOKUP(A29,A27:$C$30, 3, FALSE)</f>
        <v>FINANCE</v>
      </c>
    </row>
    <row r="33" spans="1:4" x14ac:dyDescent="0.3">
      <c r="C33" s="17" t="s">
        <v>39</v>
      </c>
    </row>
    <row r="35" spans="1:4" ht="18" x14ac:dyDescent="0.35">
      <c r="A35" s="14" t="s">
        <v>40</v>
      </c>
    </row>
    <row r="36" spans="1:4" ht="18" x14ac:dyDescent="0.35">
      <c r="A36" s="6" t="s">
        <v>41</v>
      </c>
      <c r="B36" s="6" t="s">
        <v>42</v>
      </c>
    </row>
    <row r="37" spans="1:4" x14ac:dyDescent="0.3">
      <c r="A37" s="12">
        <v>0</v>
      </c>
      <c r="B37" s="20">
        <v>0.05</v>
      </c>
    </row>
    <row r="38" spans="1:4" x14ac:dyDescent="0.3">
      <c r="A38" s="12">
        <v>20000</v>
      </c>
      <c r="B38" s="20">
        <v>0.1</v>
      </c>
    </row>
    <row r="39" spans="1:4" x14ac:dyDescent="0.3">
      <c r="A39" s="12">
        <v>50000</v>
      </c>
      <c r="B39" s="20">
        <v>0.15</v>
      </c>
    </row>
    <row r="40" spans="1:4" x14ac:dyDescent="0.3">
      <c r="A40" s="12">
        <v>80000</v>
      </c>
      <c r="B40" s="20">
        <v>0.2</v>
      </c>
    </row>
    <row r="42" spans="1:4" ht="15.6" x14ac:dyDescent="0.3">
      <c r="A42" s="2" t="s">
        <v>42</v>
      </c>
      <c r="B42" s="21">
        <f>VLOOKUP(45000,A36:B40,2,TRUE)</f>
        <v>0.1</v>
      </c>
    </row>
    <row r="44" spans="1:4" ht="18" x14ac:dyDescent="0.35">
      <c r="A44" s="14" t="s">
        <v>56</v>
      </c>
    </row>
    <row r="45" spans="1:4" ht="18" x14ac:dyDescent="0.35">
      <c r="A45" s="6" t="s">
        <v>43</v>
      </c>
      <c r="B45" s="6" t="s">
        <v>45</v>
      </c>
      <c r="C45" s="6" t="s">
        <v>44</v>
      </c>
      <c r="D45" s="22" t="s">
        <v>49</v>
      </c>
    </row>
    <row r="46" spans="1:4" ht="15.6" x14ac:dyDescent="0.3">
      <c r="A46" s="7" t="s">
        <v>46</v>
      </c>
      <c r="B46" s="7">
        <v>10</v>
      </c>
      <c r="C46" s="7">
        <v>12</v>
      </c>
      <c r="D46" s="12" t="str">
        <f>IF(B46&gt;C46, "Exceeded", "OK")</f>
        <v>OK</v>
      </c>
    </row>
    <row r="47" spans="1:4" ht="15.6" x14ac:dyDescent="0.3">
      <c r="A47" s="7" t="s">
        <v>47</v>
      </c>
      <c r="B47" s="7">
        <v>10</v>
      </c>
      <c r="C47" s="7">
        <v>15</v>
      </c>
      <c r="D47" s="12" t="str">
        <f t="shared" ref="D47:D48" si="3">IF(B47&gt;C47, "Exceeded", "OK")</f>
        <v>OK</v>
      </c>
    </row>
    <row r="48" spans="1:4" ht="15.6" x14ac:dyDescent="0.3">
      <c r="A48" s="7" t="s">
        <v>48</v>
      </c>
      <c r="B48" s="7">
        <v>8</v>
      </c>
      <c r="C48" s="7">
        <v>12</v>
      </c>
      <c r="D48" s="12" t="str">
        <f t="shared" si="3"/>
        <v>OK</v>
      </c>
    </row>
    <row r="49" spans="1:2" x14ac:dyDescent="0.3">
      <c r="A49" s="1"/>
      <c r="B49" s="1"/>
    </row>
    <row r="50" spans="1:2" ht="18" x14ac:dyDescent="0.35">
      <c r="A50" s="16" t="s">
        <v>55</v>
      </c>
    </row>
    <row r="51" spans="1:2" ht="18" x14ac:dyDescent="0.35">
      <c r="A51" s="19" t="s">
        <v>50</v>
      </c>
      <c r="B51" s="10" t="s">
        <v>51</v>
      </c>
    </row>
    <row r="52" spans="1:2" ht="15.6" x14ac:dyDescent="0.3">
      <c r="A52" s="11" t="s">
        <v>32</v>
      </c>
      <c r="B52" s="12">
        <v>55000</v>
      </c>
    </row>
    <row r="53" spans="1:2" x14ac:dyDescent="0.3">
      <c r="A53" s="12" t="s">
        <v>53</v>
      </c>
      <c r="B53" s="12">
        <v>72000</v>
      </c>
    </row>
    <row r="54" spans="1:2" x14ac:dyDescent="0.3">
      <c r="A54" s="12" t="s">
        <v>52</v>
      </c>
      <c r="B54" s="12">
        <v>62000</v>
      </c>
    </row>
    <row r="55" spans="1:2" x14ac:dyDescent="0.3">
      <c r="A55" s="12" t="s">
        <v>30</v>
      </c>
      <c r="B55" s="12">
        <v>41000</v>
      </c>
    </row>
    <row r="57" spans="1:2" ht="15.6" x14ac:dyDescent="0.3">
      <c r="A57" s="18" t="s">
        <v>53</v>
      </c>
      <c r="B57" s="2">
        <f>INDEX($B$52:$B$55,MATCH(A57,$A$52:$A$55,0))</f>
        <v>72000</v>
      </c>
    </row>
    <row r="59" spans="1:2" ht="18" x14ac:dyDescent="0.35">
      <c r="A59" s="15" t="s">
        <v>54</v>
      </c>
    </row>
    <row r="60" spans="1:2" ht="18" x14ac:dyDescent="0.35">
      <c r="A60" s="10" t="s">
        <v>57</v>
      </c>
      <c r="B60" s="10" t="s">
        <v>28</v>
      </c>
    </row>
    <row r="61" spans="1:2" x14ac:dyDescent="0.3">
      <c r="A61" s="12" t="s">
        <v>29</v>
      </c>
      <c r="B61" s="12" t="s">
        <v>36</v>
      </c>
    </row>
    <row r="62" spans="1:2" x14ac:dyDescent="0.3">
      <c r="A62" s="12" t="s">
        <v>59</v>
      </c>
      <c r="B62" s="12" t="s">
        <v>35</v>
      </c>
    </row>
    <row r="63" spans="1:2" x14ac:dyDescent="0.3">
      <c r="A63" s="12" t="s">
        <v>52</v>
      </c>
      <c r="B63" s="12" t="s">
        <v>10</v>
      </c>
    </row>
    <row r="64" spans="1:2" x14ac:dyDescent="0.3">
      <c r="A64" s="12" t="s">
        <v>58</v>
      </c>
      <c r="B64" s="12" t="s">
        <v>37</v>
      </c>
    </row>
    <row r="66" spans="1:2" ht="15.6" x14ac:dyDescent="0.3">
      <c r="A66" s="18" t="s">
        <v>59</v>
      </c>
      <c r="B66" s="18" t="str">
        <f>_xlfn.XLOOKUP("E303",A61:A64,B61:B64,)</f>
        <v>IT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Ananya Tripathi</dc:creator>
  <cp:lastModifiedBy>Ananya Tripathi</cp:lastModifiedBy>
  <dcterms:created xsi:type="dcterms:W3CDTF">2026-01-18T08:34:43Z</dcterms:created>
  <dcterms:modified xsi:type="dcterms:W3CDTF">2026-01-18T10:56:53Z</dcterms:modified>
</cp:coreProperties>
</file>